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elease\EB-Electronics\brd\cyclone_10_f672\sws_demo\doc\"/>
    </mc:Choice>
  </mc:AlternateContent>
  <xr:revisionPtr revIDLastSave="0" documentId="13_ncr:1_{03C81780-DC3C-48CA-B265-1792B375D80B}" xr6:coauthVersionLast="47" xr6:coauthVersionMax="47" xr10:uidLastSave="{00000000-0000-0000-0000-000000000000}"/>
  <bookViews>
    <workbookView xWindow="366" yWindow="366" windowWidth="17280" windowHeight="9984" activeTab="1" xr2:uid="{4A9EBE49-1768-40E5-9DBA-70444DC9A700}"/>
  </bookViews>
  <sheets>
    <sheet name="Summary" sheetId="1" r:id="rId1"/>
    <sheet name="Electrical" sheetId="2" r:id="rId2"/>
  </sheets>
  <definedNames>
    <definedName name="_Hlk134004467" localSheetId="0">Summary!#REF!</definedName>
    <definedName name="_Hlk135321533" localSheetId="0">Summary!#REF!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D12" i="1"/>
  <c r="D11" i="1"/>
  <c r="D10" i="1"/>
  <c r="D32" i="2"/>
  <c r="H32" i="2" s="1"/>
  <c r="E12" i="1" s="1"/>
  <c r="D37" i="2"/>
  <c r="E36" i="2"/>
  <c r="H35" i="2"/>
  <c r="H39" i="2"/>
  <c r="H38" i="2"/>
  <c r="H37" i="2"/>
  <c r="H36" i="2"/>
  <c r="H34" i="2"/>
  <c r="H33" i="2"/>
  <c r="H24" i="2"/>
  <c r="E25" i="2"/>
  <c r="H26" i="2"/>
  <c r="H28" i="2"/>
  <c r="H27" i="2"/>
  <c r="H25" i="2"/>
  <c r="H23" i="2"/>
  <c r="H21" i="2"/>
  <c r="H17" i="2"/>
  <c r="H16" i="2"/>
  <c r="H14" i="2"/>
  <c r="H13" i="2"/>
  <c r="H12" i="2"/>
  <c r="E15" i="2"/>
  <c r="D15" i="2"/>
  <c r="H15" i="2" s="1"/>
  <c r="E11" i="1" l="1"/>
  <c r="E10" i="1"/>
  <c r="D24" i="1"/>
  <c r="D26" i="1" l="1"/>
  <c r="D6" i="1"/>
  <c r="D25" i="1"/>
  <c r="D27" i="1"/>
  <c r="E6" i="1"/>
  <c r="D28" i="1" l="1"/>
  <c r="D29" i="1" s="1"/>
  <c r="D5" i="1" s="1"/>
</calcChain>
</file>

<file path=xl/sharedStrings.xml><?xml version="1.0" encoding="utf-8"?>
<sst xmlns="http://schemas.openxmlformats.org/spreadsheetml/2006/main" count="128" uniqueCount="87">
  <si>
    <t>Test Matrix for</t>
  </si>
  <si>
    <t>Calibur3 16-Bit Coil Driver</t>
  </si>
  <si>
    <t>Assembly Part Number:</t>
  </si>
  <si>
    <t>DA-1260-101661</t>
  </si>
  <si>
    <t>Revision:</t>
  </si>
  <si>
    <t>A-02</t>
  </si>
  <si>
    <t>Progress:</t>
  </si>
  <si>
    <t>Status:</t>
  </si>
  <si>
    <t>Group</t>
  </si>
  <si>
    <t>Test Description</t>
  </si>
  <si>
    <t>Status</t>
  </si>
  <si>
    <t>Notes</t>
  </si>
  <si>
    <t>TBD</t>
  </si>
  <si>
    <t>Number of tests</t>
  </si>
  <si>
    <t>Number of TBD</t>
  </si>
  <si>
    <t>Number of PASS</t>
  </si>
  <si>
    <t>Number of FAIL</t>
  </si>
  <si>
    <t>Percent complete</t>
  </si>
  <si>
    <t>Notes or Observations</t>
  </si>
  <si>
    <t>Pull-up Voltage</t>
  </si>
  <si>
    <r>
      <t>V</t>
    </r>
    <r>
      <rPr>
        <vertAlign val="subscript"/>
        <sz val="11"/>
        <color theme="1"/>
        <rFont val="Open Sans Light"/>
        <scheme val="minor"/>
      </rPr>
      <t>PUP</t>
    </r>
  </si>
  <si>
    <t>Min</t>
  </si>
  <si>
    <t>Max</t>
  </si>
  <si>
    <t>Measured</t>
  </si>
  <si>
    <t>Pass/Fail</t>
  </si>
  <si>
    <t>Parameter</t>
  </si>
  <si>
    <t>Symbol</t>
  </si>
  <si>
    <t>Pull-Up Resistance</t>
  </si>
  <si>
    <r>
      <t>R</t>
    </r>
    <r>
      <rPr>
        <vertAlign val="subscript"/>
        <sz val="11"/>
        <color theme="1"/>
        <rFont val="Open Sans Light"/>
        <scheme val="minor"/>
      </rPr>
      <t>PUP</t>
    </r>
  </si>
  <si>
    <t>Units</t>
  </si>
  <si>
    <t>V</t>
  </si>
  <si>
    <t>Ω</t>
  </si>
  <si>
    <t>Input Low Level</t>
  </si>
  <si>
    <t>Input High Level</t>
  </si>
  <si>
    <r>
      <t>V</t>
    </r>
    <r>
      <rPr>
        <vertAlign val="subscript"/>
        <sz val="11"/>
        <color theme="1"/>
        <rFont val="Open Sans Light"/>
        <scheme val="minor"/>
      </rPr>
      <t>IL</t>
    </r>
  </si>
  <si>
    <r>
      <t>V</t>
    </r>
    <r>
      <rPr>
        <vertAlign val="subscript"/>
        <sz val="11"/>
        <color theme="1"/>
        <rFont val="Open Sans Light"/>
        <scheme val="minor"/>
      </rPr>
      <t>IH</t>
    </r>
  </si>
  <si>
    <t>Output Low Level</t>
  </si>
  <si>
    <t>Bus Capacitance</t>
  </si>
  <si>
    <t>pF</t>
  </si>
  <si>
    <r>
      <t>V</t>
    </r>
    <r>
      <rPr>
        <vertAlign val="subscript"/>
        <sz val="11"/>
        <color theme="1"/>
        <rFont val="Open Sans Light"/>
        <scheme val="minor"/>
      </rPr>
      <t>OL</t>
    </r>
  </si>
  <si>
    <r>
      <t>C</t>
    </r>
    <r>
      <rPr>
        <vertAlign val="subscript"/>
        <sz val="11"/>
        <color theme="1"/>
        <rFont val="Open Sans Light"/>
        <scheme val="minor"/>
      </rPr>
      <t>BUS</t>
    </r>
  </si>
  <si>
    <t>AT21CS01 DC Characteristics</t>
  </si>
  <si>
    <r>
      <t>t</t>
    </r>
    <r>
      <rPr>
        <vertAlign val="subscript"/>
        <sz val="11"/>
        <color theme="1"/>
        <rFont val="Open Sans Light"/>
        <scheme val="minor"/>
      </rPr>
      <t>RESET</t>
    </r>
  </si>
  <si>
    <t>Reset Low Time, Device in Inactive State</t>
  </si>
  <si>
    <t>Discharge Low Time, Device in Active Write Cycle (tWR)</t>
  </si>
  <si>
    <t>Reset Recovery Time</t>
  </si>
  <si>
    <t>Discovery Response Request</t>
  </si>
  <si>
    <t>Discovery Response Acknowledge Time</t>
  </si>
  <si>
    <t>Host Strobe Discovery Response Time</t>
  </si>
  <si>
    <t>SI/O High Time for Start/Stop Condition</t>
  </si>
  <si>
    <r>
      <t>t</t>
    </r>
    <r>
      <rPr>
        <vertAlign val="subscript"/>
        <sz val="11"/>
        <color theme="1"/>
        <rFont val="Open Sans Light"/>
        <scheme val="minor"/>
      </rPr>
      <t>DSCHG</t>
    </r>
  </si>
  <si>
    <r>
      <t>t</t>
    </r>
    <r>
      <rPr>
        <vertAlign val="subscript"/>
        <sz val="11"/>
        <color theme="1"/>
        <rFont val="Open Sans Light"/>
        <scheme val="minor"/>
      </rPr>
      <t>RRT</t>
    </r>
  </si>
  <si>
    <r>
      <t>t</t>
    </r>
    <r>
      <rPr>
        <vertAlign val="subscript"/>
        <sz val="11"/>
        <color theme="1"/>
        <rFont val="Open Sans Light"/>
        <scheme val="minor"/>
      </rPr>
      <t>DRR</t>
    </r>
  </si>
  <si>
    <r>
      <t>t</t>
    </r>
    <r>
      <rPr>
        <vertAlign val="subscript"/>
        <sz val="11"/>
        <color theme="1"/>
        <rFont val="Open Sans Light"/>
        <scheme val="minor"/>
      </rPr>
      <t>DACK</t>
    </r>
  </si>
  <si>
    <r>
      <t>t</t>
    </r>
    <r>
      <rPr>
        <vertAlign val="subscript"/>
        <sz val="11"/>
        <color theme="1"/>
        <rFont val="Open Sans Light"/>
        <scheme val="minor"/>
      </rPr>
      <t>MSDR</t>
    </r>
  </si>
  <si>
    <r>
      <t>t</t>
    </r>
    <r>
      <rPr>
        <vertAlign val="subscript"/>
        <sz val="11"/>
        <color theme="1"/>
        <rFont val="Open Sans Light"/>
        <scheme val="minor"/>
      </rPr>
      <t>HTSS</t>
    </r>
  </si>
  <si>
    <t>µs</t>
  </si>
  <si>
    <r>
      <t>t</t>
    </r>
    <r>
      <rPr>
        <vertAlign val="subscript"/>
        <sz val="11"/>
        <color theme="1"/>
        <rFont val="Open Sans Light"/>
        <scheme val="minor"/>
      </rPr>
      <t>PUP</t>
    </r>
  </si>
  <si>
    <r>
      <t>SI/O line transition time from V</t>
    </r>
    <r>
      <rPr>
        <vertAlign val="subscript"/>
        <sz val="11"/>
        <rFont val="Open Sans Light"/>
      </rPr>
      <t>IL</t>
    </r>
    <r>
      <rPr>
        <sz val="11"/>
        <rFont val="Open Sans Light"/>
        <family val="2"/>
      </rPr>
      <t xml:space="preserve"> to V</t>
    </r>
    <r>
      <rPr>
        <vertAlign val="subscript"/>
        <sz val="11"/>
        <rFont val="Open Sans Light"/>
      </rPr>
      <t xml:space="preserve">IH </t>
    </r>
  </si>
  <si>
    <r>
      <t>t</t>
    </r>
    <r>
      <rPr>
        <vertAlign val="subscript"/>
        <sz val="11"/>
        <color theme="1"/>
        <rFont val="Open Sans Light"/>
        <scheme val="minor"/>
      </rPr>
      <t>BIT</t>
    </r>
  </si>
  <si>
    <r>
      <t>t</t>
    </r>
    <r>
      <rPr>
        <vertAlign val="subscript"/>
        <sz val="11"/>
        <color theme="1"/>
        <rFont val="Open Sans Light"/>
        <scheme val="minor"/>
      </rPr>
      <t>LOW0</t>
    </r>
  </si>
  <si>
    <r>
      <t>t</t>
    </r>
    <r>
      <rPr>
        <vertAlign val="subscript"/>
        <sz val="11"/>
        <color theme="1"/>
        <rFont val="Open Sans Light"/>
        <scheme val="minor"/>
      </rPr>
      <t>LOW1</t>
    </r>
  </si>
  <si>
    <r>
      <t>t</t>
    </r>
    <r>
      <rPr>
        <vertAlign val="subscript"/>
        <sz val="11"/>
        <color theme="1"/>
        <rFont val="Open Sans Light"/>
        <scheme val="minor"/>
      </rPr>
      <t>RD</t>
    </r>
  </si>
  <si>
    <r>
      <t>t</t>
    </r>
    <r>
      <rPr>
        <vertAlign val="subscript"/>
        <sz val="11"/>
        <color theme="1"/>
        <rFont val="Open Sans Light"/>
        <scheme val="minor"/>
      </rPr>
      <t>MRS</t>
    </r>
  </si>
  <si>
    <r>
      <t>t</t>
    </r>
    <r>
      <rPr>
        <vertAlign val="subscript"/>
        <sz val="11"/>
        <color theme="1"/>
        <rFont val="Open Sans Light"/>
        <scheme val="minor"/>
      </rPr>
      <t>HLD0</t>
    </r>
  </si>
  <si>
    <r>
      <t>t</t>
    </r>
    <r>
      <rPr>
        <vertAlign val="subscript"/>
        <sz val="11"/>
        <color theme="1"/>
        <rFont val="Open Sans Light"/>
        <scheme val="minor"/>
      </rPr>
      <t>RCV</t>
    </r>
  </si>
  <si>
    <t>Bit Frame Duration</t>
  </si>
  <si>
    <t>SI/O Low Time, Logic ‘0’ Condition</t>
  </si>
  <si>
    <t>SI/O Low Time, Logic ‘1’ Condition</t>
  </si>
  <si>
    <t>Host SI/O Low Time During Read</t>
  </si>
  <si>
    <t>Host Read Strobe Time</t>
  </si>
  <si>
    <t>Data Output Hold Time (Logic ‘0’)</t>
  </si>
  <si>
    <t>Client Recovery Time</t>
  </si>
  <si>
    <t>AT21CS01 DC Characteristics - High Speed</t>
  </si>
  <si>
    <t>Reset and Discovery Response Timing - High Speed</t>
  </si>
  <si>
    <t>Electrical Characteristics</t>
  </si>
  <si>
    <t>Functional</t>
  </si>
  <si>
    <t>Write-Read-Verify - Single Byte Write</t>
  </si>
  <si>
    <t>Read Manufacturer and Device IDs</t>
  </si>
  <si>
    <t>Write-Read-Verify - 8-Byte Page Write</t>
  </si>
  <si>
    <t>Discovery Response</t>
  </si>
  <si>
    <t>256-Bit Security Register</t>
  </si>
  <si>
    <t>Read 64-Bit Serial Number</t>
  </si>
  <si>
    <t>Write Label UID to User-Programmable Area</t>
  </si>
  <si>
    <t xml:space="preserve"> </t>
  </si>
  <si>
    <t xml:space="preserve">          attached probe; its generally probably fine</t>
  </si>
  <si>
    <t>Tested in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</si>
</sst>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8">
    <font>
      <sz val="11"/>
      <color theme="1"/>
      <name val="Open Sans Light"/>
      <family val="2"/>
      <scheme val="minor"/>
    </font>
    <font>
      <sz val="11"/>
      <name val="Open Sans Light"/>
      <family val="2"/>
    </font>
    <font>
      <b/>
      <sz val="11"/>
      <color rgb="FFC00000"/>
      <name val="Open Sans Light"/>
      <family val="2"/>
    </font>
    <font>
      <sz val="24"/>
      <color theme="4"/>
      <name val="Akhand Soft Light"/>
      <family val="3"/>
    </font>
    <font>
      <b/>
      <sz val="11"/>
      <name val="Open Sans Light"/>
      <family val="2"/>
    </font>
    <font>
      <sz val="11"/>
      <name val="Open Sans Light"/>
    </font>
    <font>
      <sz val="8"/>
      <name val="Open Sans Light"/>
      <family val="2"/>
      <scheme val="minor"/>
    </font>
    <font>
      <b/>
      <sz val="11"/>
      <name val="Open Sans Light"/>
    </font>
    <font>
      <sz val="11"/>
      <color theme="1"/>
      <name val="Open Sans Light"/>
      <family val="2"/>
      <scheme val="minor"/>
    </font>
    <font>
      <b/>
      <sz val="24"/>
      <color theme="4"/>
      <name val="Akhand Soft Light"/>
      <family val="3"/>
    </font>
    <font>
      <b/>
      <u/>
      <sz val="11"/>
      <color theme="10"/>
      <name val="Open Sans Light"/>
      <family val="2"/>
    </font>
    <font>
      <b/>
      <sz val="11"/>
      <color theme="1"/>
      <name val="Open Sans Light"/>
      <scheme val="minor"/>
    </font>
    <font>
      <i/>
      <sz val="11"/>
      <color theme="1"/>
      <name val="Open Sans Light"/>
      <scheme val="minor"/>
    </font>
    <font>
      <vertAlign val="subscript"/>
      <sz val="11"/>
      <color theme="1"/>
      <name val="Open Sans Light"/>
      <scheme val="minor"/>
    </font>
    <font>
      <b/>
      <u/>
      <sz val="11"/>
      <color theme="1"/>
      <name val="Open Sans Light"/>
      <scheme val="minor"/>
    </font>
    <font>
      <vertAlign val="subscript"/>
      <sz val="11"/>
      <name val="Open Sans Light"/>
    </font>
    <font>
      <u/>
      <sz val="11"/>
      <color theme="10"/>
      <name val="Open Sans Light"/>
      <scheme val="minor"/>
    </font>
    <font>
      <u/>
      <sz val="11"/>
      <color theme="10"/>
      <name val="Open Sans Ligh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medium">
        <color theme="3"/>
      </top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medium">
        <color theme="3"/>
      </right>
      <top/>
      <bottom/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theme="3"/>
      </right>
      <top/>
      <bottom style="thin">
        <color theme="3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 style="thin">
        <color theme="3"/>
      </left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164" fontId="1" fillId="3" borderId="12" xfId="0" applyNumberFormat="1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3" fillId="2" borderId="2" xfId="0" quotePrefix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2" borderId="4" xfId="0" quotePrefix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9" fontId="1" fillId="0" borderId="0" xfId="2" applyFont="1" applyAlignment="1">
      <alignment horizontal="left" vertical="center"/>
    </xf>
    <xf numFmtId="9" fontId="4" fillId="2" borderId="4" xfId="2" quotePrefix="1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28" xfId="0" applyFont="1" applyBorder="1" applyAlignment="1">
      <alignment horizontal="left" vertical="center" indent="1"/>
    </xf>
    <xf numFmtId="0" fontId="7" fillId="0" borderId="29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31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32" xfId="0" applyFont="1" applyBorder="1" applyAlignment="1">
      <alignment horizontal="center" vertical="center"/>
    </xf>
    <xf numFmtId="0" fontId="1" fillId="0" borderId="36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7" fillId="2" borderId="3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left" vertical="center" indent="1"/>
    </xf>
    <xf numFmtId="0" fontId="7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14" fillId="0" borderId="0" xfId="0" applyFont="1"/>
    <xf numFmtId="0" fontId="7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center" wrapText="1" indent="1"/>
    </xf>
    <xf numFmtId="0" fontId="1" fillId="0" borderId="36" xfId="0" applyFont="1" applyBorder="1" applyAlignment="1">
      <alignment horizontal="left" vertical="center" wrapText="1" indent="1"/>
    </xf>
    <xf numFmtId="0" fontId="16" fillId="0" borderId="0" xfId="1" applyFont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7" fillId="0" borderId="6" xfId="1" applyBorder="1" applyAlignment="1">
      <alignment horizontal="left" vertical="center"/>
    </xf>
    <xf numFmtId="0" fontId="17" fillId="0" borderId="0" xfId="1" applyAlignment="1">
      <alignment horizontal="left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/>
      </font>
      <fill>
        <patternFill>
          <bgColor rgb="FFFFC7CE"/>
        </patternFill>
      </fill>
    </dxf>
    <dxf>
      <font>
        <color rgb="FFC6EFCE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242047</xdr:colOff>
      <xdr:row>1</xdr:row>
      <xdr:rowOff>158500</xdr:rowOff>
    </xdr:from>
    <xdr:to>
      <xdr:col>5</xdr:col>
      <xdr:colOff>6729423</xdr:colOff>
      <xdr:row>5</xdr:row>
      <xdr:rowOff>60883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37572-2675-41E7-A109-9969DFAFC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8256494" y="382618"/>
          <a:ext cx="7222697" cy="961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ayland Additive">
  <a:themeElements>
    <a:clrScheme name="Wayland Additive">
      <a:dk1>
        <a:sysClr val="windowText" lastClr="000000"/>
      </a:dk1>
      <a:lt1>
        <a:sysClr val="window" lastClr="FFFFFF"/>
      </a:lt1>
      <a:dk2>
        <a:srgbClr val="464849"/>
      </a:dk2>
      <a:lt2>
        <a:srgbClr val="EEEDEE"/>
      </a:lt2>
      <a:accent1>
        <a:srgbClr val="009BA4"/>
      </a:accent1>
      <a:accent2>
        <a:srgbClr val="ED7D31"/>
      </a:accent2>
      <a:accent3>
        <a:srgbClr val="70AD47"/>
      </a:accent3>
      <a:accent4>
        <a:srgbClr val="C00000"/>
      </a:accent4>
      <a:accent5>
        <a:srgbClr val="954F72"/>
      </a:accent5>
      <a:accent6>
        <a:srgbClr val="4472C4"/>
      </a:accent6>
      <a:hlink>
        <a:srgbClr val="0066FF"/>
      </a:hlink>
      <a:folHlink>
        <a:srgbClr val="954F72"/>
      </a:folHlink>
    </a:clrScheme>
    <a:fontScheme name="Wayland Additive">
      <a:majorFont>
        <a:latin typeface="Akhand Soft Light"/>
        <a:ea typeface=""/>
        <a:cs typeface=""/>
      </a:majorFont>
      <a:minorFont>
        <a:latin typeface="Open San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DFDB-9F09-4898-B4D1-480EB24D6558}">
  <sheetPr>
    <pageSetUpPr fitToPage="1"/>
  </sheetPr>
  <dimension ref="A1:F30"/>
  <sheetViews>
    <sheetView showGridLines="0" zoomScale="85" zoomScaleNormal="85" workbookViewId="0">
      <selection activeCell="E17" sqref="E17"/>
    </sheetView>
  </sheetViews>
  <sheetFormatPr defaultColWidth="8.80859375" defaultRowHeight="16.5"/>
  <cols>
    <col min="1" max="1" width="1.80859375" style="7" customWidth="1"/>
    <col min="2" max="2" width="3" style="1" customWidth="1"/>
    <col min="3" max="3" width="22.80859375" style="7" customWidth="1"/>
    <col min="4" max="4" width="40.90234375" style="16" bestFit="1" customWidth="1"/>
    <col min="5" max="5" width="9.80859375" style="18" customWidth="1"/>
    <col min="6" max="6" width="96.37890625" style="9" customWidth="1"/>
    <col min="7" max="16384" width="8.80859375" style="9"/>
  </cols>
  <sheetData>
    <row r="1" spans="2:6" ht="16.8" thickBot="1"/>
    <row r="2" spans="2:6" ht="30" customHeight="1">
      <c r="B2" s="6"/>
      <c r="C2" s="8" t="s">
        <v>0</v>
      </c>
      <c r="D2" s="15" t="s">
        <v>1</v>
      </c>
      <c r="E2" s="21"/>
      <c r="F2" s="11"/>
    </row>
    <row r="3" spans="2:6">
      <c r="B3" s="2"/>
      <c r="C3" s="3" t="s">
        <v>2</v>
      </c>
      <c r="D3" s="17" t="s">
        <v>3</v>
      </c>
      <c r="E3" s="22"/>
      <c r="F3" s="12"/>
    </row>
    <row r="4" spans="2:6">
      <c r="B4" s="2"/>
      <c r="C4" s="3" t="s">
        <v>4</v>
      </c>
      <c r="D4" s="17" t="s">
        <v>5</v>
      </c>
      <c r="E4" s="23"/>
      <c r="F4" s="14"/>
    </row>
    <row r="5" spans="2:6">
      <c r="B5" s="4"/>
      <c r="C5" s="3" t="s">
        <v>6</v>
      </c>
      <c r="D5" s="20">
        <f>D29</f>
        <v>0.33333333333333331</v>
      </c>
      <c r="E5" s="23"/>
      <c r="F5" s="14"/>
    </row>
    <row r="6" spans="2:6" ht="16.8" thickBot="1">
      <c r="B6" s="5"/>
      <c r="C6" s="10" t="s">
        <v>7</v>
      </c>
      <c r="D6" s="25" t="str">
        <f>IF(COUNTIF(E10:E24,"FAIL") + COUNTIF(E10:E24,"TBD") &gt; 0, "FAIL", "PASS")</f>
        <v>FAIL</v>
      </c>
      <c r="E6" s="26">
        <f>COUNTIF(E10:E24,"FAIL")+COUNTIF(E10:E24,"TBD")</f>
        <v>9</v>
      </c>
      <c r="F6" s="13"/>
    </row>
    <row r="8" spans="2:6" ht="16.8" thickBot="1"/>
    <row r="9" spans="2:6" ht="16.8" thickBot="1">
      <c r="B9" s="27"/>
      <c r="C9" s="28" t="s">
        <v>8</v>
      </c>
      <c r="D9" s="28" t="s">
        <v>9</v>
      </c>
      <c r="E9" s="24" t="s">
        <v>10</v>
      </c>
      <c r="F9" s="29" t="s">
        <v>18</v>
      </c>
    </row>
    <row r="10" spans="2:6">
      <c r="B10" s="31"/>
      <c r="C10" s="32" t="s">
        <v>75</v>
      </c>
      <c r="D10" s="71" t="str">
        <f>Electrical!B10</f>
        <v>AT21CS01 DC Characteristics</v>
      </c>
      <c r="E10" s="35" t="str">
        <f>IF(COUNTIF(Electrical!H12:H17,"FAIL") &gt; 0, "FAIL", IF(COUNTIF(Electrical!H12:H17,"TBD") &gt; 0, "TBD", "PASS"))</f>
        <v>FAIL</v>
      </c>
      <c r="F10" s="38"/>
    </row>
    <row r="11" spans="2:6">
      <c r="B11" s="30"/>
      <c r="C11" s="34"/>
      <c r="D11" s="72" t="str">
        <f>Electrical!B19</f>
        <v>Reset and Discovery Response Timing - High Speed</v>
      </c>
      <c r="E11" s="36" t="str">
        <f>IF(COUNTIF(Electrical!H21:H28,"FAIL") &gt; 0, "FAIL", IF(COUNTIF(Electrical!H21:H28,"TBD") &gt; 0, "TBD", "PASS"))</f>
        <v>FAIL</v>
      </c>
      <c r="F11" s="39"/>
    </row>
    <row r="12" spans="2:6">
      <c r="B12" s="30"/>
      <c r="C12" s="34"/>
      <c r="D12" s="72" t="str">
        <f>Electrical!B30</f>
        <v>AT21CS01 DC Characteristics - High Speed</v>
      </c>
      <c r="E12" s="36" t="str">
        <f>IF(COUNTIF(Electrical!H32:H39,"FAIL") &gt; 0, "FAIL", IF(COUNTIF(Electrical!H32:H39,"TBD") &gt; 0, "TBD", "PASS"))</f>
        <v>FAIL</v>
      </c>
      <c r="F12" s="39"/>
    </row>
    <row r="13" spans="2:6">
      <c r="B13" s="30"/>
      <c r="C13" s="34"/>
      <c r="D13" s="65"/>
      <c r="E13" s="36"/>
      <c r="F13" s="39"/>
    </row>
    <row r="14" spans="2:6">
      <c r="B14" s="31"/>
      <c r="C14" s="32" t="s">
        <v>76</v>
      </c>
      <c r="D14" s="66" t="s">
        <v>80</v>
      </c>
      <c r="E14" s="37" t="s">
        <v>12</v>
      </c>
      <c r="F14" s="40"/>
    </row>
    <row r="15" spans="2:6">
      <c r="B15" s="30"/>
      <c r="D15" s="7" t="s">
        <v>78</v>
      </c>
      <c r="E15" s="36" t="s">
        <v>12</v>
      </c>
      <c r="F15" s="39"/>
    </row>
    <row r="16" spans="2:6">
      <c r="B16" s="30"/>
      <c r="D16" s="7" t="s">
        <v>77</v>
      </c>
      <c r="E16" s="36" t="s">
        <v>12</v>
      </c>
      <c r="F16" s="39"/>
    </row>
    <row r="17" spans="2:6">
      <c r="B17" s="30"/>
      <c r="D17" s="7" t="s">
        <v>79</v>
      </c>
      <c r="E17" s="36" t="s">
        <v>12</v>
      </c>
      <c r="F17" s="39"/>
    </row>
    <row r="18" spans="2:6">
      <c r="B18" s="30"/>
      <c r="D18" s="7"/>
      <c r="E18" s="36"/>
      <c r="F18" s="39"/>
    </row>
    <row r="19" spans="2:6">
      <c r="B19" s="31"/>
      <c r="C19" s="32" t="s">
        <v>81</v>
      </c>
      <c r="D19" s="33" t="s">
        <v>82</v>
      </c>
      <c r="E19" s="37" t="s">
        <v>12</v>
      </c>
      <c r="F19" s="38"/>
    </row>
    <row r="20" spans="2:6">
      <c r="B20" s="30"/>
      <c r="D20" s="34" t="s">
        <v>83</v>
      </c>
      <c r="E20" s="36" t="s">
        <v>12</v>
      </c>
      <c r="F20" s="39"/>
    </row>
    <row r="21" spans="2:6" ht="16.8" thickBot="1">
      <c r="B21" s="67"/>
      <c r="C21" s="70"/>
      <c r="D21" s="70"/>
      <c r="E21" s="68"/>
      <c r="F21" s="69"/>
    </row>
    <row r="24" spans="2:6">
      <c r="C24" s="7" t="s">
        <v>13</v>
      </c>
      <c r="D24" s="7">
        <f>COUNTIF(D10:D23,"&lt;&gt;"&amp;"")</f>
        <v>9</v>
      </c>
    </row>
    <row r="25" spans="2:6">
      <c r="C25" s="7" t="s">
        <v>14</v>
      </c>
      <c r="D25" s="7">
        <f>COUNTIF(E10:E23,"TBD")</f>
        <v>6</v>
      </c>
    </row>
    <row r="26" spans="2:6">
      <c r="C26" s="7" t="s">
        <v>15</v>
      </c>
      <c r="D26" s="7">
        <f>COUNTIF(E10:E23,"PASS")</f>
        <v>0</v>
      </c>
    </row>
    <row r="27" spans="2:6">
      <c r="C27" s="7" t="s">
        <v>16</v>
      </c>
      <c r="D27" s="7">
        <f>COUNTIF(E10:E23,"FAIL")</f>
        <v>3</v>
      </c>
    </row>
    <row r="28" spans="2:6">
      <c r="C28" s="9"/>
      <c r="D28" s="9">
        <f>SUM(D25:D27)</f>
        <v>9</v>
      </c>
    </row>
    <row r="29" spans="2:6">
      <c r="C29" s="7" t="s">
        <v>17</v>
      </c>
      <c r="D29" s="19">
        <f>(D28-D25)/D28</f>
        <v>0.33333333333333331</v>
      </c>
    </row>
    <row r="30" spans="2:6">
      <c r="C30" s="9"/>
      <c r="D30" s="9"/>
    </row>
  </sheetData>
  <phoneticPr fontId="6" type="noConversion"/>
  <conditionalFormatting sqref="E6">
    <cfRule type="cellIs" dxfId="16" priority="1" operator="equal">
      <formula>0</formula>
    </cfRule>
    <cfRule type="cellIs" dxfId="15" priority="3" operator="greaterThan">
      <formula>0</formula>
    </cfRule>
  </conditionalFormatting>
  <conditionalFormatting sqref="E10:E27">
    <cfRule type="containsText" dxfId="14" priority="4" operator="containsText" text="TBD">
      <formula>NOT(ISERROR(SEARCH("TBD",E10)))</formula>
    </cfRule>
    <cfRule type="containsText" dxfId="13" priority="5" operator="containsText" text="FAIL">
      <formula>NOT(ISERROR(SEARCH("FAIL",E10)))</formula>
    </cfRule>
    <cfRule type="containsText" dxfId="12" priority="6" operator="containsText" text="PASS">
      <formula>NOT(ISERROR(SEARCH("PASS",E10)))</formula>
    </cfRule>
  </conditionalFormatting>
  <hyperlinks>
    <hyperlink ref="D10" location="Electrical!B10" display="Electrical!B10" xr:uid="{985906BF-56DB-4F66-8670-D4E46D8234F2}"/>
    <hyperlink ref="D11" location="Electrical!B19" display="Electrical!B19" xr:uid="{D1C7DE90-BDD1-4104-86CA-7EFCAA3BCCB2}"/>
    <hyperlink ref="D12" location="Electrical!B30" display="Electrical!B30" xr:uid="{40F03C47-67AB-417B-AA5C-11F51AE9FF55}"/>
  </hyperlinks>
  <pageMargins left="0.25" right="0.25" top="0.75" bottom="0.75" header="0.3" footer="0.3"/>
  <pageSetup paperSize="9" scale="3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EFF0-04E6-4BF0-BD84-1B1261E60E72}">
  <dimension ref="B10:J39"/>
  <sheetViews>
    <sheetView showGridLines="0" tabSelected="1" topLeftCell="A7" zoomScale="90" zoomScaleNormal="90" workbookViewId="0">
      <selection activeCell="M9" sqref="M9"/>
    </sheetView>
  </sheetViews>
  <sheetFormatPr defaultRowHeight="16.5"/>
  <cols>
    <col min="1" max="1" width="1.90234375" customWidth="1"/>
    <col min="2" max="2" width="44.6171875" bestFit="1" customWidth="1"/>
  </cols>
  <sheetData>
    <row r="10" spans="2:9" ht="16.8" thickBot="1">
      <c r="B10" s="61" t="s">
        <v>41</v>
      </c>
    </row>
    <row r="11" spans="2:9" ht="16.8" thickBot="1">
      <c r="B11" s="55" t="s">
        <v>25</v>
      </c>
      <c r="C11" s="24" t="s">
        <v>26</v>
      </c>
      <c r="D11" s="24" t="s">
        <v>21</v>
      </c>
      <c r="E11" s="24" t="s">
        <v>22</v>
      </c>
      <c r="F11" s="24" t="s">
        <v>23</v>
      </c>
      <c r="G11" s="24" t="s">
        <v>29</v>
      </c>
      <c r="H11" s="56" t="s">
        <v>24</v>
      </c>
      <c r="I11" s="57" t="s">
        <v>11</v>
      </c>
    </row>
    <row r="12" spans="2:9">
      <c r="B12" s="43" t="s">
        <v>19</v>
      </c>
      <c r="C12" s="44" t="s">
        <v>20</v>
      </c>
      <c r="D12" s="41">
        <v>1.7</v>
      </c>
      <c r="E12" s="41">
        <v>3.6</v>
      </c>
      <c r="F12" s="41">
        <v>1.81</v>
      </c>
      <c r="G12" s="41" t="s">
        <v>30</v>
      </c>
      <c r="H12" s="41" t="str">
        <f>IF(F12="","TBD",IF(OR(F12&lt;D12,F12&gt;E12),"FAIL","PASS"))</f>
        <v>PASS</v>
      </c>
      <c r="I12" s="42"/>
    </row>
    <row r="13" spans="2:9">
      <c r="B13" s="49" t="s">
        <v>27</v>
      </c>
      <c r="C13" s="53" t="s">
        <v>28</v>
      </c>
      <c r="D13" s="45">
        <v>200</v>
      </c>
      <c r="E13" s="45">
        <v>1800</v>
      </c>
      <c r="F13" s="54">
        <v>204</v>
      </c>
      <c r="G13" s="45" t="s">
        <v>31</v>
      </c>
      <c r="H13" s="54" t="str">
        <f t="shared" ref="H13:H17" si="0">IF(F13="","TBD",IF(OR(F13&lt;D13,F13&gt;E13),"FAIL","PASS"))</f>
        <v>PASS</v>
      </c>
      <c r="I13" s="46"/>
    </row>
    <row r="14" spans="2:9">
      <c r="B14" s="52" t="s">
        <v>32</v>
      </c>
      <c r="C14" s="53" t="s">
        <v>34</v>
      </c>
      <c r="D14" s="45">
        <v>-0.6</v>
      </c>
      <c r="E14" s="45">
        <v>0.5</v>
      </c>
      <c r="F14" s="54">
        <v>0.17</v>
      </c>
      <c r="G14" s="45" t="s">
        <v>30</v>
      </c>
      <c r="H14" s="54" t="str">
        <f t="shared" si="0"/>
        <v>PASS</v>
      </c>
      <c r="I14" s="46"/>
    </row>
    <row r="15" spans="2:9">
      <c r="B15" s="52" t="s">
        <v>33</v>
      </c>
      <c r="C15" s="53" t="s">
        <v>35</v>
      </c>
      <c r="D15" s="45">
        <f>F12*0.7</f>
        <v>1.2669999999999999</v>
      </c>
      <c r="E15" s="45">
        <f>F12+0.5</f>
        <v>2.31</v>
      </c>
      <c r="F15" s="54">
        <v>1.81</v>
      </c>
      <c r="G15" s="45" t="s">
        <v>30</v>
      </c>
      <c r="H15" s="54" t="str">
        <f t="shared" si="0"/>
        <v>PASS</v>
      </c>
      <c r="I15" s="46"/>
    </row>
    <row r="16" spans="2:9">
      <c r="B16" s="49" t="s">
        <v>36</v>
      </c>
      <c r="C16" s="53" t="s">
        <v>39</v>
      </c>
      <c r="D16" s="45">
        <v>0</v>
      </c>
      <c r="E16" s="45">
        <v>0.4</v>
      </c>
      <c r="F16" s="54">
        <v>0</v>
      </c>
      <c r="G16" s="45" t="s">
        <v>30</v>
      </c>
      <c r="H16" s="54" t="str">
        <f t="shared" si="0"/>
        <v>PASS</v>
      </c>
      <c r="I16" s="46"/>
    </row>
    <row r="17" spans="2:10" ht="16.8" thickBot="1">
      <c r="B17" s="58" t="s">
        <v>37</v>
      </c>
      <c r="C17" s="59" t="s">
        <v>40</v>
      </c>
      <c r="D17" s="47">
        <v>0</v>
      </c>
      <c r="E17" s="47">
        <v>1000</v>
      </c>
      <c r="F17" s="60">
        <v>1160</v>
      </c>
      <c r="G17" s="47" t="s">
        <v>38</v>
      </c>
      <c r="H17" s="60" t="str">
        <f t="shared" si="0"/>
        <v>FAIL</v>
      </c>
      <c r="I17" s="48" t="s">
        <v>85</v>
      </c>
      <c r="J17" t="s">
        <v>84</v>
      </c>
    </row>
    <row r="18" spans="2:10">
      <c r="B18" s="50"/>
    </row>
    <row r="19" spans="2:10" ht="16.8" thickBot="1">
      <c r="B19" s="61" t="s">
        <v>74</v>
      </c>
    </row>
    <row r="20" spans="2:10" ht="16.8" thickBot="1">
      <c r="B20" s="55" t="s">
        <v>25</v>
      </c>
      <c r="C20" s="24" t="s">
        <v>26</v>
      </c>
      <c r="D20" s="24" t="s">
        <v>21</v>
      </c>
      <c r="E20" s="24" t="s">
        <v>22</v>
      </c>
      <c r="F20" s="24" t="s">
        <v>23</v>
      </c>
      <c r="G20" s="24" t="s">
        <v>29</v>
      </c>
      <c r="H20" s="56" t="s">
        <v>24</v>
      </c>
      <c r="I20" s="57" t="s">
        <v>11</v>
      </c>
    </row>
    <row r="21" spans="2:10">
      <c r="B21" s="43" t="s">
        <v>43</v>
      </c>
      <c r="C21" s="44" t="s">
        <v>42</v>
      </c>
      <c r="D21" s="41">
        <v>96</v>
      </c>
      <c r="E21" s="41">
        <v>1000</v>
      </c>
      <c r="F21" s="41">
        <v>96.02</v>
      </c>
      <c r="G21" s="41" t="s">
        <v>56</v>
      </c>
      <c r="H21" s="41" t="str">
        <f>IF(F21="","TBD",IF(OR(F21&lt;D21,F21&gt;E21),"FAIL","PASS"))</f>
        <v>PASS</v>
      </c>
      <c r="I21" s="42"/>
    </row>
    <row r="22" spans="2:10" ht="33">
      <c r="B22" s="63" t="s">
        <v>44</v>
      </c>
      <c r="C22" s="51" t="s">
        <v>50</v>
      </c>
      <c r="D22" s="45">
        <v>150</v>
      </c>
      <c r="E22" s="45">
        <v>1000</v>
      </c>
      <c r="F22" s="54">
        <v>480</v>
      </c>
      <c r="G22" s="45" t="s">
        <v>56</v>
      </c>
      <c r="H22" s="54" t="str">
        <f>IF(F22="","TBD",IF(OR(F22&lt;D22,F22&gt;E22),"FAIL","PASS"))</f>
        <v>PASS</v>
      </c>
      <c r="I22" s="46" t="s">
        <v>86</v>
      </c>
    </row>
    <row r="23" spans="2:10">
      <c r="B23" s="52" t="s">
        <v>45</v>
      </c>
      <c r="C23" s="51" t="s">
        <v>51</v>
      </c>
      <c r="D23" s="45">
        <v>8</v>
      </c>
      <c r="E23" s="45">
        <v>1000</v>
      </c>
      <c r="F23" s="54">
        <v>104</v>
      </c>
      <c r="G23" s="45" t="s">
        <v>56</v>
      </c>
      <c r="H23" s="54" t="str">
        <f t="shared" ref="H23:H28" si="1">IF(F23="","TBD",IF(OR(F23&lt;D23,F23&gt;E23),"FAIL","PASS"))</f>
        <v>PASS</v>
      </c>
      <c r="I23" s="46"/>
    </row>
    <row r="24" spans="2:10">
      <c r="B24" s="52" t="s">
        <v>58</v>
      </c>
      <c r="C24" s="51" t="s">
        <v>57</v>
      </c>
      <c r="D24" s="45">
        <v>0</v>
      </c>
      <c r="E24" s="45">
        <v>1</v>
      </c>
      <c r="F24" s="54">
        <v>0.2</v>
      </c>
      <c r="G24" s="45" t="s">
        <v>56</v>
      </c>
      <c r="H24" s="54" t="str">
        <f t="shared" si="1"/>
        <v>PASS</v>
      </c>
      <c r="I24" s="46"/>
    </row>
    <row r="25" spans="2:10">
      <c r="B25" s="52" t="s">
        <v>46</v>
      </c>
      <c r="C25" s="51" t="s">
        <v>52</v>
      </c>
      <c r="D25" s="45">
        <v>1</v>
      </c>
      <c r="E25" s="45">
        <f>2-F24</f>
        <v>1.8</v>
      </c>
      <c r="F25" s="54">
        <v>1</v>
      </c>
      <c r="G25" s="45" t="s">
        <v>56</v>
      </c>
      <c r="H25" s="54" t="str">
        <f t="shared" si="1"/>
        <v>PASS</v>
      </c>
      <c r="I25" s="46"/>
    </row>
    <row r="26" spans="2:10">
      <c r="B26" s="52" t="s">
        <v>47</v>
      </c>
      <c r="C26" s="51" t="s">
        <v>53</v>
      </c>
      <c r="D26" s="45">
        <v>8</v>
      </c>
      <c r="E26" s="45">
        <v>24</v>
      </c>
      <c r="F26" s="54">
        <v>17</v>
      </c>
      <c r="G26" s="45" t="s">
        <v>56</v>
      </c>
      <c r="H26" s="54" t="str">
        <f t="shared" si="1"/>
        <v>PASS</v>
      </c>
      <c r="I26" s="46"/>
    </row>
    <row r="27" spans="2:10">
      <c r="B27" s="49" t="s">
        <v>48</v>
      </c>
      <c r="C27" s="51" t="s">
        <v>54</v>
      </c>
      <c r="D27" s="45">
        <v>2</v>
      </c>
      <c r="E27" s="45">
        <v>6</v>
      </c>
      <c r="F27" s="54">
        <v>1</v>
      </c>
      <c r="G27" s="45" t="s">
        <v>56</v>
      </c>
      <c r="H27" s="54" t="str">
        <f t="shared" si="1"/>
        <v>FAIL</v>
      </c>
      <c r="I27" s="46"/>
    </row>
    <row r="28" spans="2:10" ht="16.8" thickBot="1">
      <c r="B28" s="58" t="s">
        <v>49</v>
      </c>
      <c r="C28" s="62" t="s">
        <v>55</v>
      </c>
      <c r="D28" s="47">
        <v>150</v>
      </c>
      <c r="E28" s="47">
        <v>1000</v>
      </c>
      <c r="F28" s="60">
        <v>1000</v>
      </c>
      <c r="G28" s="47" t="s">
        <v>56</v>
      </c>
      <c r="H28" s="60" t="str">
        <f t="shared" si="1"/>
        <v>PASS</v>
      </c>
      <c r="I28" s="48"/>
    </row>
    <row r="29" spans="2:10">
      <c r="B29" s="50"/>
    </row>
    <row r="30" spans="2:10" ht="16.8" thickBot="1">
      <c r="B30" s="61" t="s">
        <v>73</v>
      </c>
    </row>
    <row r="31" spans="2:10" ht="16.8" thickBot="1">
      <c r="B31" s="55" t="s">
        <v>25</v>
      </c>
      <c r="C31" s="24" t="s">
        <v>26</v>
      </c>
      <c r="D31" s="24" t="s">
        <v>21</v>
      </c>
      <c r="E31" s="24" t="s">
        <v>22</v>
      </c>
      <c r="F31" s="24" t="s">
        <v>23</v>
      </c>
      <c r="G31" s="24" t="s">
        <v>29</v>
      </c>
      <c r="H31" s="56" t="s">
        <v>24</v>
      </c>
      <c r="I31" s="57" t="s">
        <v>11</v>
      </c>
    </row>
    <row r="32" spans="2:10">
      <c r="B32" s="43" t="s">
        <v>66</v>
      </c>
      <c r="C32" s="44" t="s">
        <v>59</v>
      </c>
      <c r="D32" s="41">
        <f>F34+F24+F39</f>
        <v>30.259999999999998</v>
      </c>
      <c r="E32" s="41">
        <v>25</v>
      </c>
      <c r="F32" s="41">
        <v>26</v>
      </c>
      <c r="G32" s="41" t="s">
        <v>56</v>
      </c>
      <c r="H32" s="41" t="str">
        <f>IF(F32="","TBD",IF(OR(F32&lt;D32,F32&gt;E32),"FAIL","PASS"))</f>
        <v>FAIL</v>
      </c>
      <c r="I32" s="42"/>
    </row>
    <row r="33" spans="2:9">
      <c r="B33" s="63" t="s">
        <v>49</v>
      </c>
      <c r="C33" s="51" t="s">
        <v>55</v>
      </c>
      <c r="D33" s="45">
        <v>150</v>
      </c>
      <c r="E33" s="45">
        <v>1000</v>
      </c>
      <c r="F33" s="54">
        <v>1000</v>
      </c>
      <c r="G33" s="45" t="s">
        <v>56</v>
      </c>
      <c r="H33" s="54" t="str">
        <f t="shared" ref="H33:H39" si="2">IF(F33="","TBD",IF(OR(F33&lt;D33,F33&gt;E33),"FAIL","PASS"))</f>
        <v>PASS</v>
      </c>
      <c r="I33" s="46"/>
    </row>
    <row r="34" spans="2:9">
      <c r="B34" s="52" t="s">
        <v>67</v>
      </c>
      <c r="C34" s="51" t="s">
        <v>60</v>
      </c>
      <c r="D34" s="45">
        <v>6</v>
      </c>
      <c r="E34" s="45">
        <v>16</v>
      </c>
      <c r="F34" s="54">
        <v>6.06</v>
      </c>
      <c r="G34" s="45" t="s">
        <v>56</v>
      </c>
      <c r="H34" s="54" t="str">
        <f t="shared" si="2"/>
        <v>PASS</v>
      </c>
      <c r="I34" s="46"/>
    </row>
    <row r="35" spans="2:9">
      <c r="B35" s="52" t="s">
        <v>68</v>
      </c>
      <c r="C35" s="51" t="s">
        <v>61</v>
      </c>
      <c r="D35" s="45">
        <v>1</v>
      </c>
      <c r="E35" s="45">
        <v>2</v>
      </c>
      <c r="F35" s="54">
        <v>1.1000000000000001</v>
      </c>
      <c r="G35" s="45" t="s">
        <v>56</v>
      </c>
      <c r="H35" s="54" t="str">
        <f t="shared" ref="H35" si="3">IF(F35="","TBD",IF(OR(F35&lt;D35,F35&gt;E35),"FAIL","PASS"))</f>
        <v>PASS</v>
      </c>
      <c r="I35" s="46"/>
    </row>
    <row r="36" spans="2:9">
      <c r="B36" s="52" t="s">
        <v>69</v>
      </c>
      <c r="C36" s="51" t="s">
        <v>62</v>
      </c>
      <c r="D36" s="45">
        <v>1</v>
      </c>
      <c r="E36" s="45">
        <f>2-F24</f>
        <v>1.8</v>
      </c>
      <c r="F36" s="54">
        <v>1</v>
      </c>
      <c r="G36" s="45" t="s">
        <v>56</v>
      </c>
      <c r="H36" s="54" t="str">
        <f t="shared" si="2"/>
        <v>PASS</v>
      </c>
      <c r="I36" s="46"/>
    </row>
    <row r="37" spans="2:9">
      <c r="B37" s="52" t="s">
        <v>70</v>
      </c>
      <c r="C37" s="51" t="s">
        <v>63</v>
      </c>
      <c r="D37" s="45">
        <f>F36+F24</f>
        <v>1.2</v>
      </c>
      <c r="E37" s="45">
        <v>2</v>
      </c>
      <c r="F37" s="54">
        <v>1.3</v>
      </c>
      <c r="G37" s="45" t="s">
        <v>56</v>
      </c>
      <c r="H37" s="54" t="str">
        <f t="shared" si="2"/>
        <v>PASS</v>
      </c>
      <c r="I37" s="46"/>
    </row>
    <row r="38" spans="2:9">
      <c r="B38" s="64" t="s">
        <v>71</v>
      </c>
      <c r="C38" s="51" t="s">
        <v>64</v>
      </c>
      <c r="D38" s="45">
        <v>2</v>
      </c>
      <c r="E38" s="45">
        <v>6</v>
      </c>
      <c r="F38" s="54">
        <v>4.7</v>
      </c>
      <c r="G38" s="45" t="s">
        <v>56</v>
      </c>
      <c r="H38" s="54" t="str">
        <f t="shared" si="2"/>
        <v>PASS</v>
      </c>
      <c r="I38" s="46"/>
    </row>
    <row r="39" spans="2:9" ht="16.8" thickBot="1">
      <c r="B39" s="58" t="s">
        <v>72</v>
      </c>
      <c r="C39" s="62" t="s">
        <v>65</v>
      </c>
      <c r="D39" s="47">
        <v>2</v>
      </c>
      <c r="E39" s="47">
        <v>1000</v>
      </c>
      <c r="F39" s="60">
        <v>24</v>
      </c>
      <c r="G39" s="47" t="s">
        <v>56</v>
      </c>
      <c r="H39" s="60" t="str">
        <f t="shared" si="2"/>
        <v>PASS</v>
      </c>
      <c r="I39" s="48"/>
    </row>
  </sheetData>
  <conditionalFormatting sqref="F12:F17">
    <cfRule type="cellIs" dxfId="11" priority="15" stopIfTrue="1" operator="equal">
      <formula>""</formula>
    </cfRule>
  </conditionalFormatting>
  <conditionalFormatting sqref="F21:F28">
    <cfRule type="cellIs" dxfId="10" priority="10" stopIfTrue="1" operator="equal">
      <formula>""</formula>
    </cfRule>
  </conditionalFormatting>
  <conditionalFormatting sqref="F32:F39">
    <cfRule type="cellIs" dxfId="9" priority="2" stopIfTrue="1" operator="equal">
      <formula>""</formula>
    </cfRule>
  </conditionalFormatting>
  <conditionalFormatting sqref="H12:H17">
    <cfRule type="expression" dxfId="8" priority="13" stopIfTrue="1">
      <formula>F12=""</formula>
    </cfRule>
    <cfRule type="containsText" dxfId="7" priority="16" stopIfTrue="1" operator="containsText" text="PASS">
      <formula>NOT(ISERROR(SEARCH("PASS",H12)))</formula>
    </cfRule>
    <cfRule type="containsText" dxfId="6" priority="17" stopIfTrue="1" operator="containsText" text="FAIL">
      <formula>NOT(ISERROR(SEARCH("FAIL",H12)))</formula>
    </cfRule>
  </conditionalFormatting>
  <conditionalFormatting sqref="H21:H28">
    <cfRule type="expression" dxfId="5" priority="9" stopIfTrue="1">
      <formula>F12=""</formula>
    </cfRule>
    <cfRule type="containsText" dxfId="4" priority="11" stopIfTrue="1" operator="containsText" text="PASS">
      <formula>NOT(ISERROR(SEARCH("PASS",H21)))</formula>
    </cfRule>
    <cfRule type="containsText" dxfId="3" priority="12" stopIfTrue="1" operator="containsText" text="FAIL">
      <formula>NOT(ISERROR(SEARCH("FAIL",H21)))</formula>
    </cfRule>
  </conditionalFormatting>
  <conditionalFormatting sqref="H32:H39">
    <cfRule type="expression" dxfId="2" priority="1" stopIfTrue="1">
      <formula>F12=""</formula>
    </cfRule>
    <cfRule type="containsText" dxfId="1" priority="3" stopIfTrue="1" operator="containsText" text="PASS">
      <formula>NOT(ISERROR(SEARCH("PASS",H32)))</formula>
    </cfRule>
    <cfRule type="containsText" dxfId="0" priority="4" stopIfTrue="1" operator="containsText" text="FAIL">
      <formula>NOT(ISERROR(SEARCH("FAIL",H32)))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8F9D466DB964083E6F0E5E9222D29" ma:contentTypeVersion="19" ma:contentTypeDescription="Create a new document." ma:contentTypeScope="" ma:versionID="befdf4c92ae5e768c39498e4f80cf7e2">
  <xsd:schema xmlns:xsd="http://www.w3.org/2001/XMLSchema" xmlns:xs="http://www.w3.org/2001/XMLSchema" xmlns:p="http://schemas.microsoft.com/office/2006/metadata/properties" xmlns:ns2="24a70d88-4d02-4465-9844-690cf4da0850" xmlns:ns3="08ad2386-dee4-46ec-b9bf-517f56242d6c" targetNamespace="http://schemas.microsoft.com/office/2006/metadata/properties" ma:root="true" ma:fieldsID="52b632ed3614b2b0d6786c43701febdb" ns2:_="" ns3:_="">
    <xsd:import namespace="24a70d88-4d02-4465-9844-690cf4da0850"/>
    <xsd:import namespace="08ad2386-dee4-46ec-b9bf-517f56242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70d88-4d02-4465-9844-690cf4da0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3b0eb23-1381-4d8e-b88f-856b3d3938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d2386-dee4-46ec-b9bf-517f56242d6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8f23542-6715-4907-a6cc-87e7134735fd}" ma:internalName="TaxCatchAll" ma:showField="CatchAllData" ma:web="08ad2386-dee4-46ec-b9bf-517f56242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4CDBB8-F618-4683-8D61-F740D989F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a70d88-4d02-4465-9844-690cf4da0850"/>
    <ds:schemaRef ds:uri="08ad2386-dee4-46ec-b9bf-517f56242d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93B285-5FCA-4C37-AD0E-848E187950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Electrical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Groves</dc:creator>
  <cp:keywords/>
  <dc:description/>
  <cp:lastModifiedBy>Rayyan Asher</cp:lastModifiedBy>
  <cp:revision/>
  <dcterms:created xsi:type="dcterms:W3CDTF">2021-06-05T12:14:29Z</dcterms:created>
  <dcterms:modified xsi:type="dcterms:W3CDTF">2026-05-19T14:45:45Z</dcterms:modified>
  <cp:category/>
  <cp:contentStatus/>
</cp:coreProperties>
</file>